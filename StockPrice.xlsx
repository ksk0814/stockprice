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コード" sheetId="1" r:id="rId4"/>
  </sheets>
  <definedNames/>
  <calcPr/>
  <extLst>
    <ext uri="GoogleSheetsCustomDataVersion2">
      <go:sheetsCustomData xmlns:go="http://customooxmlschemas.google.com/" r:id="rId5" roundtripDataChecksum="3TOXBD5jhVYjl+uXxnjPrjQNQaCtux1/AN1IkaMJvJ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2">
      <text>
        <t xml:space="preserve">======
ID#AAABpZLK9Ic
Ksk Izk (KI)    (2025-08-17 12:44:30)
【要改良】PLから転記</t>
      </text>
    </comment>
    <comment authorId="0" ref="E12">
      <text>
        <t xml:space="preserve">======
ID#AAABfNrAJdo
Ksk Izk (KI)    (2025-03-23 04:54:04)
Tは兆円、Bは10億円単位に置き換える</t>
      </text>
    </comment>
    <comment authorId="0" ref="F12">
      <text>
        <t xml:space="preserve">======
ID#AAABguco7AM
Ksk Izk (KI)    (2025-03-23 00:47:38)
fy-profit-and-loss.csv
セルB22から転記
-K I</t>
      </text>
    </comment>
    <comment authorId="0" ref="H13">
      <text>
        <t xml:space="preserve">======
ID#AAAAq_ueU2k
Ksk Izk (KI)    (2023-03-09 12:07:09)
決算短信P5より</t>
      </text>
    </comment>
    <comment authorId="0" ref="G13">
      <text>
        <t xml:space="preserve">======
ID#AAAAq_ueU2g
Ksk Izk (KI)    (2023-03-09 12:06:56)
決算短信P4より</t>
      </text>
    </comment>
    <comment authorId="0" ref="E13">
      <text>
        <t xml:space="preserve">======
ID#AAAAq_ueU2c
Ksk Izk (KI)    (2023-03-09 12:06:41)
Google financeより</t>
      </text>
    </comment>
    <comment authorId="0" ref="D2">
      <text>
        <t xml:space="preserve">======
ID#AAAAmo_r_BA
    (2023-01-02 11:26:11)
fy-balance-sheet.csv
セルH19から転記
	-K I
------
ID#AAABguco7AA
Ksk Izk (KI)    (2025-03-23 00:46:41)
_解決済みにしました_
------
ID#AAABguco7AE
Ksk Izk (KI)    (2025-03-23 00:46:54)
_再び開きました_</t>
      </text>
    </comment>
    <comment authorId="0" ref="E4">
      <text>
        <t xml:space="preserve">======
ID#AAAAmo_r_A8
    (2023-01-02 11:26:11)
fy-profit-and-loss.csv
セルH19から転記
	-K I</t>
      </text>
    </comment>
    <comment authorId="0" ref="F2">
      <text>
        <t xml:space="preserve">======
ID#AAAAmo_r_A4
    (2023-01-02 11:26:11)
fy-balance-sheet.csv
セルI19から転記
	-K I</t>
      </text>
    </comment>
    <comment authorId="0" ref="D4">
      <text>
        <t xml:space="preserve">======
ID#AAAAmo_r_A0
    (2023-01-02 11:26:11)
fy-profit-and-loss.csv
セルF19から転記
	-K I
------
ID#AAABguco6_8
Ksk Izk (KI)    (2025-03-23 00:46:15)
_解決済みにしました_
------
ID#AAABguco7AI
Ksk Izk (KI)    (2025-03-23 00:46:57)
_再び開きました_</t>
      </text>
    </comment>
  </commentList>
  <extLst>
    <ext uri="GoogleSheetsCustomDataVersion2">
      <go:sheetsCustomData xmlns:go="http://customooxmlschemas.google.com/" r:id="rId1" roundtripDataSignature="AMtx7mhMBCi1ohnZLe8N17KcskEmWyKdbQ=="/>
    </ext>
  </extLst>
</comments>
</file>

<file path=xl/sharedStrings.xml><?xml version="1.0" encoding="utf-8"?>
<sst xmlns="http://schemas.openxmlformats.org/spreadsheetml/2006/main" count="31" uniqueCount="29">
  <si>
    <t>4桁のコード</t>
  </si>
  <si>
    <t>BPS</t>
  </si>
  <si>
    <t>割引評価率</t>
  </si>
  <si>
    <t>自己資本比率(%)</t>
  </si>
  <si>
    <t>判定（&gt;50%?）</t>
  </si>
  <si>
    <t xml:space="preserve">a(D2*E2)        </t>
  </si>
  <si>
    <t>資産価値</t>
  </si>
  <si>
    <t>EPS</t>
  </si>
  <si>
    <t>ROA(%)</t>
  </si>
  <si>
    <t>財務レバレッジ補正</t>
  </si>
  <si>
    <t>b(D4*E4*F4*G4)</t>
  </si>
  <si>
    <t>事業価値</t>
  </si>
  <si>
    <t>c(a+b)</t>
  </si>
  <si>
    <t>理論株価</t>
  </si>
  <si>
    <t>d 株価</t>
  </si>
  <si>
    <t>判定</t>
  </si>
  <si>
    <t>投資の下限（上昇余地&gt;何％から？）</t>
  </si>
  <si>
    <t>e((c-d)/d*100)</t>
  </si>
  <si>
    <t>上昇余地</t>
  </si>
  <si>
    <t>判定（&lt;1.0?）</t>
  </si>
  <si>
    <t>時価総額（百万円）</t>
  </si>
  <si>
    <t>売上高（百万円）</t>
  </si>
  <si>
    <t>f(D12/E12)</t>
  </si>
  <si>
    <t>PSR(PriceSalesRatio)</t>
  </si>
  <si>
    <t>正味価値</t>
  </si>
  <si>
    <t>流動資産（百万円）</t>
  </si>
  <si>
    <t>負債（百万円）</t>
  </si>
  <si>
    <t>g(D12/E12)</t>
  </si>
  <si>
    <t>時価総額/正味価値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</si>
</sst>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;(#,##0.00)"/>
    <numFmt numFmtId="165" formatCode="yyyy/m/d"/>
  </numFmts>
  <fonts count="7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rgb="FFFF0000"/>
      <name val="Arial"/>
      <scheme val="minor"/>
    </font>
    <font>
      <b/>
      <color rgb="FF000000"/>
      <name val="Arial"/>
    </font>
    <font>
      <b/>
      <color theme="1"/>
      <name val="Arial"/>
    </font>
    <font>
      <b/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Alignment="1" applyFont="1">
      <alignment horizontal="right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3" xfId="0" applyAlignment="1" applyBorder="1" applyFont="1" applyNumberFormat="1">
      <alignment horizontal="right"/>
    </xf>
    <xf borderId="1" fillId="2" fontId="1" numFmtId="164" xfId="0" applyAlignment="1" applyBorder="1" applyFont="1" applyNumberFormat="1">
      <alignment horizontal="right"/>
    </xf>
    <xf borderId="1" fillId="2" fontId="1" numFmtId="10" xfId="0" applyAlignment="1" applyBorder="1" applyFont="1" applyNumberFormat="1">
      <alignment readingOrder="0"/>
    </xf>
    <xf borderId="1" fillId="0" fontId="3" numFmtId="0" xfId="0" applyBorder="1" applyFont="1"/>
    <xf borderId="1" fillId="2" fontId="1" numFmtId="10" xfId="0" applyAlignment="1" applyBorder="1" applyFont="1" applyNumberFormat="1">
      <alignment horizontal="right"/>
    </xf>
    <xf borderId="1" fillId="0" fontId="1" numFmtId="0" xfId="0" applyAlignment="1" applyBorder="1" applyFont="1">
      <alignment horizontal="right"/>
    </xf>
    <xf borderId="0" fillId="0" fontId="1" numFmtId="0" xfId="0" applyFont="1"/>
    <xf borderId="1" fillId="0" fontId="4" numFmtId="3" xfId="0" applyAlignment="1" applyBorder="1" applyFont="1" applyNumberFormat="1">
      <alignment horizontal="right"/>
    </xf>
    <xf borderId="1" fillId="0" fontId="1" numFmtId="165" xfId="0" applyAlignment="1" applyBorder="1" applyFont="1" applyNumberFormat="1">
      <alignment horizontal="left"/>
    </xf>
    <xf borderId="1" fillId="2" fontId="1" numFmtId="3" xfId="0" applyAlignment="1" applyBorder="1" applyFont="1" applyNumberFormat="1">
      <alignment horizontal="right"/>
    </xf>
    <xf borderId="0" fillId="0" fontId="1" numFmtId="0" xfId="0" applyAlignment="1" applyFont="1">
      <alignment readingOrder="0" vertical="bottom"/>
    </xf>
    <xf borderId="1" fillId="0" fontId="5" numFmtId="10" xfId="0" applyAlignment="1" applyBorder="1" applyFont="1" applyNumberFormat="1">
      <alignment horizontal="right"/>
    </xf>
    <xf borderId="1" fillId="0" fontId="6" numFmtId="0" xfId="0" applyAlignment="1" applyBorder="1" applyFont="1">
      <alignment vertical="bottom"/>
    </xf>
    <xf borderId="1" fillId="0" fontId="2" numFmtId="9" xfId="0" applyAlignment="1" applyBorder="1" applyFont="1" applyNumberFormat="1">
      <alignment readingOrder="0"/>
    </xf>
    <xf borderId="0" fillId="0" fontId="1" numFmtId="0" xfId="0" applyAlignment="1" applyFont="1">
      <alignment vertical="bottom"/>
    </xf>
    <xf borderId="1" fillId="2" fontId="1" numFmtId="3" xfId="0" applyAlignment="1" applyBorder="1" applyFont="1" applyNumberFormat="1">
      <alignment horizontal="right" vertical="bottom"/>
    </xf>
    <xf borderId="1" fillId="2" fontId="1" numFmtId="3" xfId="0" applyAlignment="1" applyBorder="1" applyFont="1" applyNumberFormat="1">
      <alignment vertical="bottom"/>
    </xf>
    <xf borderId="2" fillId="0" fontId="1" numFmtId="0" xfId="0" applyAlignment="1" applyBorder="1" applyFont="1">
      <alignment vertical="bottom"/>
    </xf>
    <xf borderId="2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right" vertical="bottom"/>
    </xf>
    <xf borderId="1" fillId="2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1190625</xdr:colOff>
      <xdr:row>7</xdr:row>
      <xdr:rowOff>209550</xdr:rowOff>
    </xdr:from>
    <xdr:ext cx="2581275" cy="962025"/>
    <xdr:pic>
      <xdr:nvPicPr>
        <xdr:cNvPr id="0" name="image2.jp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1190625</xdr:colOff>
      <xdr:row>0</xdr:row>
      <xdr:rowOff>0</xdr:rowOff>
    </xdr:from>
    <xdr:ext cx="1466850" cy="1619250"/>
    <xdr:pic>
      <xdr:nvPicPr>
        <xdr:cNvPr id="0" name="image1.jp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7.38"/>
    <col customWidth="1" min="5" max="5" width="16.0"/>
    <col customWidth="1" min="6" max="6" width="14.38"/>
    <col customWidth="1" min="7" max="8" width="16.0"/>
  </cols>
  <sheetData>
    <row r="1" ht="15.75" customHeight="1">
      <c r="A1" s="1" t="s">
        <v>0</v>
      </c>
      <c r="C1" s="2"/>
      <c r="D1" s="2" t="s">
        <v>1</v>
      </c>
      <c r="E1" s="2" t="s">
        <v>2</v>
      </c>
      <c r="F1" s="2" t="s">
        <v>3</v>
      </c>
      <c r="G1" s="3" t="s">
        <v>4</v>
      </c>
    </row>
    <row r="2" ht="15.75" customHeight="1">
      <c r="A2" s="4" t="s">
        <v>5</v>
      </c>
      <c r="B2" s="5" t="s">
        <v>6</v>
      </c>
      <c r="C2" s="6">
        <f>D2*E2</f>
        <v>0</v>
      </c>
      <c r="D2" s="7"/>
      <c r="E2" s="5">
        <f>IF(F2&gt;=0.8,0.8,IF(F2&gt;=0.67,0.75,IF(F2&gt;=0.5,0.7,IF(F2&gt;=0.33,0.65,IF(F2&gt;=0.1,0.6,0.5)))))</f>
        <v>0.5</v>
      </c>
      <c r="F2" s="8"/>
      <c r="G2" s="9" t="str">
        <f>IF($F$2="","",IF($F$2&gt;50%,"OK","NG"))</f>
        <v/>
      </c>
    </row>
    <row r="3" ht="15.75" customHeight="1">
      <c r="D3" s="2" t="s">
        <v>7</v>
      </c>
      <c r="E3" s="2" t="s">
        <v>8</v>
      </c>
      <c r="F3" s="2"/>
      <c r="G3" s="2" t="s">
        <v>9</v>
      </c>
    </row>
    <row r="4" ht="15.75" customHeight="1">
      <c r="A4" s="4" t="s">
        <v>10</v>
      </c>
      <c r="B4" s="5" t="s">
        <v>11</v>
      </c>
      <c r="C4" s="6">
        <f>D4*E4*F4*G4</f>
        <v>0</v>
      </c>
      <c r="D4" s="7"/>
      <c r="E4" s="10"/>
      <c r="F4" s="11">
        <v>150.0</v>
      </c>
      <c r="G4" s="11">
        <f>if(F2&gt;=0.66,1,if(F2&gt;=0.5,1.2,if(F2&gt;=0.4,1.36,1.5)))</f>
        <v>1.5</v>
      </c>
    </row>
    <row r="5" ht="15.75" customHeight="1">
      <c r="C5" s="12"/>
    </row>
    <row r="6" ht="15.75" customHeight="1">
      <c r="A6" s="5" t="s">
        <v>12</v>
      </c>
      <c r="B6" s="5" t="s">
        <v>13</v>
      </c>
      <c r="C6" s="13">
        <f>C2+C4</f>
        <v>0</v>
      </c>
    </row>
    <row r="7" ht="15.75" customHeight="1"/>
    <row r="8" ht="15.75" customHeight="1">
      <c r="A8" s="14">
        <f>TODAY()</f>
        <v>46164</v>
      </c>
      <c r="B8" s="5" t="s">
        <v>14</v>
      </c>
      <c r="C8" s="15" t="str">
        <f>IFERROR(STOCKPRICEJP(A1),"")</f>
        <v/>
      </c>
    </row>
    <row r="9" ht="15.75" customHeight="1">
      <c r="D9" s="16" t="s">
        <v>15</v>
      </c>
      <c r="E9" s="3" t="s">
        <v>16</v>
      </c>
    </row>
    <row r="10" ht="15.75" customHeight="1">
      <c r="A10" s="5" t="s">
        <v>17</v>
      </c>
      <c r="B10" s="5" t="s">
        <v>18</v>
      </c>
      <c r="C10" s="17" t="str">
        <f>IFERROR(($C$6-$C$8)/$C$8,"")</f>
        <v/>
      </c>
      <c r="D10" s="18" t="str">
        <f>IF($C$10="","",IF($C$10&gt;$E$10,"OK","NG"))</f>
        <v/>
      </c>
      <c r="E10" s="19">
        <v>0.3</v>
      </c>
    </row>
    <row r="11" ht="15.75" customHeight="1">
      <c r="A11" s="20"/>
      <c r="B11" s="20"/>
      <c r="C11" s="16"/>
      <c r="D11" s="16" t="s">
        <v>19</v>
      </c>
      <c r="E11" s="16" t="s">
        <v>20</v>
      </c>
      <c r="F11" s="16" t="s">
        <v>21</v>
      </c>
    </row>
    <row r="12" ht="15.75" customHeight="1">
      <c r="A12" s="16" t="s">
        <v>22</v>
      </c>
      <c r="B12" s="16" t="s">
        <v>23</v>
      </c>
      <c r="C12" s="16" t="str">
        <f>IFERROR($E$12/$F$12,"")</f>
        <v/>
      </c>
      <c r="D12" s="18" t="str">
        <f>IF($C$12="","",IF($C$12&lt;1,"OK","NG"))</f>
        <v/>
      </c>
      <c r="E12" s="21"/>
      <c r="F12" s="22" t="str">
        <f>if(OR($G$12="",$G$12="-"),"",ROUND($G$12/1000000,0))</f>
        <v/>
      </c>
    </row>
    <row r="13" ht="15.75" customHeight="1">
      <c r="A13" s="23"/>
      <c r="B13" s="24"/>
      <c r="C13" s="23"/>
      <c r="D13" s="16" t="s">
        <v>19</v>
      </c>
      <c r="E13" s="16" t="s">
        <v>20</v>
      </c>
      <c r="F13" s="20" t="s">
        <v>24</v>
      </c>
      <c r="G13" s="16" t="s">
        <v>25</v>
      </c>
      <c r="H13" s="16" t="s">
        <v>26</v>
      </c>
    </row>
    <row r="14" ht="15.75" customHeight="1">
      <c r="A14" s="25" t="s">
        <v>27</v>
      </c>
      <c r="B14" s="26" t="s">
        <v>28</v>
      </c>
      <c r="C14" s="25" t="str">
        <f>IFERROR($E$14/$F$14,"")</f>
        <v/>
      </c>
      <c r="D14" s="18" t="str">
        <f>IF($C$14="","",IF($C$14&lt;1,"OK","NG"))</f>
        <v/>
      </c>
      <c r="E14" s="21" t="str">
        <f>$E$12</f>
        <v/>
      </c>
      <c r="F14" s="27">
        <f>G14-H14</f>
        <v>0</v>
      </c>
      <c r="G14" s="28"/>
      <c r="H14" s="2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